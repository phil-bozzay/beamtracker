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<sst xmlns="http://schemas.openxmlformats.org/spreadsheetml/2006/main" count="112" uniqueCount="111">
  <si>
    <t xml:space="preserve">4-Element Digital Phased Array Receiver — Bill of Materials</t>
  </si>
  <si>
    <t xml:space="preserve">915 MHz ISM Band | BPSK | 500 kHz BW | 70 MHz IF | Digital Beamforming</t>
  </si>
  <si>
    <t xml:space="preserve">#</t>
  </si>
  <si>
    <t xml:space="preserve">Component</t>
  </si>
  <si>
    <t xml:space="preserve">Part Number</t>
  </si>
  <si>
    <t xml:space="preserve">Description</t>
  </si>
  <si>
    <t xml:space="preserve">Qty</t>
  </si>
  <si>
    <t xml:space="preserve">Unit $</t>
  </si>
  <si>
    <t xml:space="preserve">Ext $</t>
  </si>
  <si>
    <t xml:space="preserve">Performance Requirements</t>
  </si>
  <si>
    <t xml:space="preserve">RF FRONT END (per channel × 4)</t>
  </si>
  <si>
    <t xml:space="preserve">LNA</t>
  </si>
  <si>
    <t xml:space="preserve">SKY67150-396LF</t>
  </si>
  <si>
    <t xml:space="preserve">GaAs pHEMT LNA, 300-2200 MHz, 8-DFN</t>
  </si>
  <si>
    <t xml:space="preserve">REQUIRED: NF ≤ 1.0 dB (dominates system NF per Friis equation). Gain ≥ 12 dB (must overcome BPF + mixer losses to maintain SNR). Frequency range must cover 902-928 MHz. P1dB ≥ 0 dBm output (must not compress at max expected input of -11 dBm + 14 dB gain = +3 dBm). Supply: 1.8-5V compatible with 3.3V system rail.</t>
  </si>
  <si>
    <t xml:space="preserve">SAW Bandpass Filter</t>
  </si>
  <si>
    <t xml:space="preserve">B39921B3588U410</t>
  </si>
  <si>
    <t xml:space="preserve">SAW BPF, 902-928 MHz, SMD</t>
  </si>
  <si>
    <t xml:space="preserve">REQUIRED: Passband must cover 902-928 MHz with ≤ 3 dB insertion loss. CRITICAL: Must reject image frequency at 775 MHz by ≥ 40 dB (image is 140 MHz below passband, 2×IF). Must also reject LO leakage at 845 MHz. 50 ohm impedance for direct interface with LNA output and mixer input.</t>
  </si>
  <si>
    <t xml:space="preserve">Mixer</t>
  </si>
  <si>
    <t xml:space="preserve">LT5560EDD#PBF</t>
  </si>
  <si>
    <t xml:space="preserve">Active mixer, 10 kHz-4 GHz, 8-DFN</t>
  </si>
  <si>
    <t xml:space="preserve">REQUIRED: RF input must accept 915 MHz. LO input must accept 845 MHz. IF output at 70 MHz (RF - LO = 915 - 845 = 70 MHz). Conversion gain ≥ -3 dB (minimize signal loss at downconversion stage). LO drive level: -2 dBm (must match ADF4351 output power per channel after splitter). NF ≤ 12 dB (acceptable after LNA gain masks it per Friis). LO-to-RF isolation ≥ 30 dB (prevent LO from radiating back through antenna).</t>
  </si>
  <si>
    <t xml:space="preserve">IF Amplifier</t>
  </si>
  <si>
    <t xml:space="preserve">AD8354ACPZ</t>
  </si>
  <si>
    <t xml:space="preserve">IF amp, DC-2.7 GHz, 20 dB gain, 8-LFCSP</t>
  </si>
  <si>
    <t xml:space="preserve">REQUIRED: Gain of 20-25 dB at 70 MHz IF to bring signal from -19 dBm to ~+3 dBm at ADC input. Bandwidth must cover 70 MHz ± 250 kHz (IF center ± half signal BW). NF ≤ 5 dB (acceptable since LNA gain + mixer gain already mask downstream noise). Output P1dB ≥ +10 dBm (must not clip at +3 dBm nominal output). Must deliver signal within ADC input range of 0 to 3.3V (≈ +8 dBm full scale into 50 ohm).</t>
  </si>
  <si>
    <t xml:space="preserve">ADC</t>
  </si>
  <si>
    <t xml:space="preserve">ADS7042IRUGR</t>
  </si>
  <si>
    <t xml:space="preserve">12-bit 1 MSPS SAR ADC, SPI, X2QFN-8</t>
  </si>
  <si>
    <t xml:space="preserve">REQUIRED: Sample rate ≥ 1 MSPS (Nyquist: 2× 500 kHz signal BW; 1.5 MSPS preferred for filter rolloff margin). Resolution ≥ 12 bits (72 dB dynamic range; covers 20 dB operating range + margin for fading/interference). SPI interface (for FPGA parallel readout of 4 channels). Input voltage range: 0-3.3V to match system supply. SNR ≥ 70 dB (must not be the limiting factor in signal chain). Data throughput: 12 bits × 1.5 MSPS = 18 Mbps per channel, 72 Mbps total — must fit within USB 2.0 (480 Mbps).</t>
  </si>
  <si>
    <t xml:space="preserve">SHARED COMPONENTS</t>
  </si>
  <si>
    <t xml:space="preserve">PLL/LO Synthesizer</t>
  </si>
  <si>
    <t xml:space="preserve">ADF4351BCPZ</t>
  </si>
  <si>
    <t xml:space="preserve">Frac-N/Int-N PLL+VCO, 35 MHz-4.4 GHz, 32-LFCSP</t>
  </si>
  <si>
    <t xml:space="preserve">REQUIRED: Must generate 845 MHz LO with ≤ 1 kHz frequency accuracy (phase errors degrade beamforming). Phase noise ≤ -95 dBc/Hz at 10 kHz offset (coherent LO is critical — phase noise across 4 channels destroys beam pattern). Output power ≥ 0 dBm (must provide -2 dBm per channel after 4-way splitter loss of ~7 dB, so need ≥ +5 dBm ideally). Lock time ≤ 1 ms. SPI control interface. 3.0-3.6V supply.</t>
  </si>
  <si>
    <t xml:space="preserve">Reference TCXO</t>
  </si>
  <si>
    <t xml:space="preserve">ECS-TXO-3225-100</t>
  </si>
  <si>
    <t xml:space="preserve">10 MHz TCXO, ±2.5 ppm, 3.3V, SMD</t>
  </si>
  <si>
    <t xml:space="preserve">REQUIRED: Frequency stability ≤ ±2.5 ppm (sets LO frequency accuracy: 2.5 ppm × 845 MHz = ±2.1 kHz max error). Must be 10 MHz or 25 MHz (compatible with ADF4351 reference input). Low phase noise floor (reference noise multiplied by N in PLL — directly impacts LO phase noise).</t>
  </si>
  <si>
    <t xml:space="preserve">LO Power Splitter</t>
  </si>
  <si>
    <t xml:space="preserve">SCN-4-13+</t>
  </si>
  <si>
    <t xml:space="preserve">4-way 0° splitter, 750-1300 MHz, SMD</t>
  </si>
  <si>
    <t xml:space="preserve">REQUIRED: Must operate at 845 MHz. 4-way split with ≤ 7 dB total insertion loss (6 dB ideal + 1 dB excess). CRITICAL: Phase balance between ports ≤ ±2° (phase mismatch between LO paths directly corrupts beamforming calibration). Amplitude balance ≤ ±0.5 dB between ports. Isolation between output ports ≥ 20 dB (prevent crosstalk between channels).</t>
  </si>
  <si>
    <t xml:space="preserve">FPGA Dev Board</t>
  </si>
  <si>
    <t xml:space="preserve">Lattice iCEstick</t>
  </si>
  <si>
    <t xml:space="preserve">iCE40HX1K FPGA, USB interface</t>
  </si>
  <si>
    <t xml:space="preserve">REQUIRED: ≥ 48 GPIO pins (4 ADCs × 12 data lines + 4 clock lines + SPI for ADF4351 = ~56 pins minimum). Clock speed ≥ 12 MHz (must clock SPI fast enough to read 4 ADCs at 1.5 MSPS each). USB interface for streaming serialized data to host computer at ≥ 72 Mbps. NOTE: iCEstick has limited IO — may need to upgrade to iCE40-HX8K Breakout Board ($50) for pin count.</t>
  </si>
  <si>
    <t xml:space="preserve">3.3V LDO Regulator</t>
  </si>
  <si>
    <t xml:space="preserve">AMS1117-3.3</t>
  </si>
  <si>
    <t xml:space="preserve">3.3V 1A LDO, SOT-223</t>
  </si>
  <si>
    <t xml:space="preserve">REQUIRED: Output 3.3V ± 5% (supplies LNA, ADC, ADF4351, TCXO). Current capacity ≥ 500 mA (4× LNA at 15 mA + 4× ADC + ADF4351 at 110 mA + TCXO ≈ 300 mA total). Low output noise ≤ 100 µV RMS (power supply noise couples into RF chain and degrades NF). IMPORTANT: Use separate regulators for RF analog and digital sections to prevent digital switching noise from contaminating RF.</t>
  </si>
  <si>
    <t xml:space="preserve">5V Voltage Regulator</t>
  </si>
  <si>
    <t xml:space="preserve">LM7805</t>
  </si>
  <si>
    <t xml:space="preserve">5V 1.5A linear regulator, TO-220</t>
  </si>
  <si>
    <t xml:space="preserve">REQUIRED: Input range 7-12V (wall adapter or battery). Output 5V ±5% to feed 3.3V LDOs. Current ≥ 1A (total system consumption ~500 mA with margin).</t>
  </si>
  <si>
    <t xml:space="preserve">ANTENNA &amp; ARRAY SYSTEM</t>
  </si>
  <si>
    <t xml:space="preserve">915 MHz Whip Antenna</t>
  </si>
  <si>
    <t xml:space="preserve">ANT-916-CW-HWR-SMA</t>
  </si>
  <si>
    <t xml:space="preserve">Quarter-wave whip, 915 MHz, 2 dBi, SMA</t>
  </si>
  <si>
    <t xml:space="preserve">REQUIRED: Omnidirectional azimuth pattern (beam shape must be controlled by array, not individual elements). Gain ≈ 2 dBi (quarter-wave over ground plane). Center frequency 915 MHz ± 13 MHz (cover 902-928 MHz ISM). VSWR ≤ 2:1 across passband (impedance match to 50 ohm system). CRITICAL: All 4 antennas must be identical model/batch to minimize amplitude and phase mismatch between channels.</t>
  </si>
  <si>
    <t xml:space="preserve">SMA Coax Cable</t>
  </si>
  <si>
    <t xml:space="preserve">RG-316 SMA-SMA</t>
  </si>
  <si>
    <t xml:space="preserve">SMA male-male, RG-316, 12 inch, matched</t>
  </si>
  <si>
    <t xml:space="preserve">REQUIRED: Characteristic impedance 50 ohm. CRITICAL: All 4 cables must be identical length within ±1 mm (1 mm path difference at 915 MHz = ~1.1° phase error; beamforming requires phase coherence ≤ ±5° between channels). Loss ≤ 0.5 dB at 915 MHz for 12 inch length.</t>
  </si>
  <si>
    <t xml:space="preserve">Mounting Fixture</t>
  </si>
  <si>
    <t xml:space="preserve">Aluminum extrusion</t>
  </si>
  <si>
    <t xml:space="preserve">Adjustable rail for array geometry</t>
  </si>
  <si>
    <t xml:space="preserve">REQUIRED: Must support λ/2 spacing = 16.4 cm between elements for maximum array factor. Configurable between 1×4 linear (1D beamforming) and 2×2 planar (2D beamforming). Rigid mounting to prevent element movement during operation (vibration causes time-varying phase errors).</t>
  </si>
  <si>
    <t xml:space="preserve">PCB &amp; PASSIVES</t>
  </si>
  <si>
    <t xml:space="preserve">4-Layer PCB</t>
  </si>
  <si>
    <t xml:space="preserve">Custom — JLCPCB</t>
  </si>
  <si>
    <t xml:space="preserve">4-layer, controlled impedance, ENIG</t>
  </si>
  <si>
    <t xml:space="preserve">REQUIRED: 4-layer stackup (signal-ground-power-signal) for proper RF grounding and isolation. Controlled impedance: 50 ohm microstrip traces on RF signal layers (trace width set by stackup, typically ~12 mil on standard 4-layer). ENIG finish for consistent impedance and solderability on RF pads. CRITICAL: All 4 RF channel layouts must be physically symmetric/matched to minimize phase and amplitude mismatch.</t>
  </si>
  <si>
    <t xml:space="preserve">SMA Edge Connectors</t>
  </si>
  <si>
    <t xml:space="preserve">SMA-J-P-H-ST-EM1</t>
  </si>
  <si>
    <t xml:space="preserve">SMA female, edge mount, 50 ohm</t>
  </si>
  <si>
    <t xml:space="preserve">REQUIRED: 50 ohm impedance. Edge mount for clean RF transition to PCB microstrip. 4× for antenna inputs, 1× for LO input (if using external ADF4351 module), 3× spare/test points.</t>
  </si>
  <si>
    <t xml:space="preserve">Decoupling Caps 100nF</t>
  </si>
  <si>
    <t xml:space="preserve">GRM188R71C104K</t>
  </si>
  <si>
    <t xml:space="preserve">100nF MLCC, 0603, 16V, X7R</t>
  </si>
  <si>
    <t xml:space="preserve">REQUIRED: One 100nF cap at every IC power pin, placed within 2 mm of pin. Provides high-frequency decoupling. X7R dielectric for stable capacitance vs temperature.</t>
  </si>
  <si>
    <t xml:space="preserve">Decoupling Caps 10µF</t>
  </si>
  <si>
    <t xml:space="preserve">GRM21BR61C106K</t>
  </si>
  <si>
    <t xml:space="preserve">10µF MLCC, 0805, 16V, X5R</t>
  </si>
  <si>
    <t xml:space="preserve">REQUIRED: Bulk decoupling, one per IC or per power section. Paired with 100nF caps to cover low-frequency supply ripple.</t>
  </si>
  <si>
    <t xml:space="preserve">Matching Components</t>
  </si>
  <si>
    <t xml:space="preserve">Assorted L/C</t>
  </si>
  <si>
    <t xml:space="preserve">0402/0603 RF inductors and caps</t>
  </si>
  <si>
    <t xml:space="preserve">REQUIRED: Values per component datasheet reference designs. Must use RF-grade components (high Q, tight tolerance ≤ 5%) at 915 MHz. Standard ceramic caps and wirewound inductors lose performance at UHF — use thin-film or multilayer RF parts.</t>
  </si>
  <si>
    <t xml:space="preserve">Loop Filter Components</t>
  </si>
  <si>
    <t xml:space="preserve">Assorted R/C</t>
  </si>
  <si>
    <t xml:space="preserve">Resistors and caps for PLL loop filter</t>
  </si>
  <si>
    <t xml:space="preserve">REQUIRED: Values calculated from ADIsimPLL or ADF4351 datasheet for 35 kHz loop bandwidth. Component tolerance ≤ 1% for resistors, ≤ 5% for capacitors (loop filter sets PLL stability and lock time).</t>
  </si>
  <si>
    <t xml:space="preserve">TEST / TRANSMIT EQUIPMENT</t>
  </si>
  <si>
    <t xml:space="preserve">LoRa TX Module</t>
  </si>
  <si>
    <t xml:space="preserve">RYLR896</t>
  </si>
  <si>
    <t xml:space="preserve">915 MHz LoRa, SMA, adj. TX power</t>
  </si>
  <si>
    <t xml:space="preserve">REQUIRED: Transmit at 915 MHz ISM band. Adjustable TX power up to 100 mW (20 dBm). BPSK or compatible modulation. SMA output for external antenna.</t>
  </si>
  <si>
    <t xml:space="preserve">TX Antenna</t>
  </si>
  <si>
    <t xml:space="preserve">Quarter-wave whip for transmitter</t>
  </si>
  <si>
    <t xml:space="preserve">REQUIRED: Same spec as RX antennas. 915 MHz, ~2 dBi, SMA, omnidirectional.</t>
  </si>
  <si>
    <t xml:space="preserve">TOTAL PROJECT COST (estimated)</t>
  </si>
  <si>
    <t xml:space="preserve">NOTES</t>
  </si>
  <si>
    <t xml:space="preserve">1. Performance requirements marked CRITICAL are system-breaking if not met — beamforming will fail.</t>
  </si>
  <si>
    <t xml:space="preserve">2. Requirements marked REQUIRED define minimum specs — exceeding them improves performance but is not necessary.</t>
  </si>
  <si>
    <t xml:space="preserve">3. SKY67013-396LF is EOL; SKY67150-396LF is the drop-in replacement with equivalent or better specs.</t>
  </si>
  <si>
    <t xml:space="preserve">4. ADF4351 output power is +5 dBm max. After 4-way splitter (~7 dB loss), each mixer gets ~-2 dBm LO drive — verify this meets LT5560 spec.</t>
  </si>
  <si>
    <t xml:space="preserve">5. Phase coherence budget: cable mismatch (±1°) + LO splitter (±2°) + PCB mismatch (±2°) = ±5° total — must calibrate out residual.</t>
  </si>
  <si>
    <t xml:space="preserve">6. For prototyping, consider buying ADF4351 module ($20-30) instead of integrating PLL on custom PCB.</t>
  </si>
  <si>
    <t xml:space="preserve">7. FPGA pin count is tight on iCEstick — verify pin mapping before PCB layout. May need HX8K breakout.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</si>
</sst>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>
        <color rgb="FF2F5496"/>
      </top>
      <bottom style="double">
        <color rgb="FF2F54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4" min="4" style="0" width="36"/>
    <col collapsed="false" customWidth="true" hidden="false" outlineLevel="0" max="5" min="5" style="0" width="6"/>
    <col collapsed="false" customWidth="true" hidden="false" outlineLevel="0" max="7" min="6" style="0" width="10"/>
    <col collapsed="false" customWidth="true" hidden="false" outlineLevel="0" max="8" min="8" style="0" width="6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90" hidden="false" customHeight="true" outlineLevel="0" collapsed="false">
      <c r="A6" s="5" t="n">
        <v>1</v>
      </c>
      <c r="B6" s="5" t="s">
        <v>11</v>
      </c>
      <c r="C6" s="5" t="s">
        <v>12</v>
      </c>
      <c r="D6" s="5" t="s">
        <v>13</v>
      </c>
      <c r="E6" s="6" t="n">
        <v>4</v>
      </c>
      <c r="F6" s="7" t="n">
        <v>5.4</v>
      </c>
      <c r="G6" s="7" t="n">
        <f aca="false">E6*F6</f>
        <v>21.6</v>
      </c>
      <c r="H6" s="8" t="s">
        <v>14</v>
      </c>
    </row>
    <row r="7" customFormat="false" ht="90" hidden="false" customHeight="true" outlineLevel="0" collapsed="false">
      <c r="A7" s="5" t="n">
        <v>2</v>
      </c>
      <c r="B7" s="5" t="s">
        <v>15</v>
      </c>
      <c r="C7" s="5" t="s">
        <v>16</v>
      </c>
      <c r="D7" s="5" t="s">
        <v>17</v>
      </c>
      <c r="E7" s="6" t="n">
        <v>4</v>
      </c>
      <c r="F7" s="7" t="n">
        <v>3.5</v>
      </c>
      <c r="G7" s="7" t="n">
        <f aca="false">E7*F7</f>
        <v>14</v>
      </c>
      <c r="H7" s="8" t="s">
        <v>18</v>
      </c>
    </row>
    <row r="8" customFormat="false" ht="105" hidden="false" customHeight="true" outlineLevel="0" collapsed="false">
      <c r="A8" s="5" t="n">
        <v>3</v>
      </c>
      <c r="B8" s="5" t="s">
        <v>19</v>
      </c>
      <c r="C8" s="5" t="s">
        <v>20</v>
      </c>
      <c r="D8" s="5" t="s">
        <v>21</v>
      </c>
      <c r="E8" s="6" t="n">
        <v>4</v>
      </c>
      <c r="F8" s="7" t="n">
        <v>4.85</v>
      </c>
      <c r="G8" s="7" t="n">
        <f aca="false">E8*F8</f>
        <v>19.4</v>
      </c>
      <c r="H8" s="8" t="s">
        <v>22</v>
      </c>
    </row>
    <row r="9" customFormat="false" ht="105" hidden="false" customHeight="true" outlineLevel="0" collapsed="false">
      <c r="A9" s="5" t="n">
        <v>4</v>
      </c>
      <c r="B9" s="5" t="s">
        <v>23</v>
      </c>
      <c r="C9" s="5" t="s">
        <v>24</v>
      </c>
      <c r="D9" s="5" t="s">
        <v>25</v>
      </c>
      <c r="E9" s="6" t="n">
        <v>4</v>
      </c>
      <c r="F9" s="7" t="n">
        <v>4.5</v>
      </c>
      <c r="G9" s="7" t="n">
        <f aca="false">E9*F9</f>
        <v>18</v>
      </c>
      <c r="H9" s="8" t="s">
        <v>26</v>
      </c>
    </row>
    <row r="10" customFormat="false" ht="135" hidden="false" customHeight="true" outlineLevel="0" collapsed="false">
      <c r="A10" s="5" t="n">
        <v>5</v>
      </c>
      <c r="B10" s="5" t="s">
        <v>27</v>
      </c>
      <c r="C10" s="5" t="s">
        <v>28</v>
      </c>
      <c r="D10" s="5" t="s">
        <v>29</v>
      </c>
      <c r="E10" s="6" t="n">
        <v>4</v>
      </c>
      <c r="F10" s="7" t="n">
        <v>1.8</v>
      </c>
      <c r="G10" s="7" t="n">
        <f aca="false">E10*F10</f>
        <v>7.2</v>
      </c>
      <c r="H10" s="8" t="s">
        <v>30</v>
      </c>
    </row>
    <row r="11" customFormat="false" ht="15" hidden="false" customHeight="false" outlineLevel="0" collapsed="false">
      <c r="A11" s="4" t="s">
        <v>31</v>
      </c>
      <c r="B11" s="4"/>
      <c r="C11" s="4"/>
      <c r="D11" s="4"/>
      <c r="E11" s="4"/>
      <c r="F11" s="4"/>
      <c r="G11" s="4"/>
      <c r="H11" s="4"/>
    </row>
    <row r="12" customFormat="false" ht="105" hidden="false" customHeight="true" outlineLevel="0" collapsed="false">
      <c r="A12" s="5" t="n">
        <v>6</v>
      </c>
      <c r="B12" s="5" t="s">
        <v>32</v>
      </c>
      <c r="C12" s="5" t="s">
        <v>33</v>
      </c>
      <c r="D12" s="5" t="s">
        <v>34</v>
      </c>
      <c r="E12" s="6" t="n">
        <v>1</v>
      </c>
      <c r="F12" s="7" t="n">
        <v>11.5</v>
      </c>
      <c r="G12" s="7" t="n">
        <f aca="false">E12*F12</f>
        <v>11.5</v>
      </c>
      <c r="H12" s="8" t="s">
        <v>35</v>
      </c>
    </row>
    <row r="13" customFormat="false" ht="75" hidden="false" customHeight="true" outlineLevel="0" collapsed="false">
      <c r="A13" s="5" t="n">
        <v>7</v>
      </c>
      <c r="B13" s="5" t="s">
        <v>36</v>
      </c>
      <c r="C13" s="5" t="s">
        <v>37</v>
      </c>
      <c r="D13" s="5" t="s">
        <v>38</v>
      </c>
      <c r="E13" s="6" t="n">
        <v>1</v>
      </c>
      <c r="F13" s="7" t="n">
        <v>4.5</v>
      </c>
      <c r="G13" s="7" t="n">
        <f aca="false">E13*F13</f>
        <v>4.5</v>
      </c>
      <c r="H13" s="8" t="s">
        <v>39</v>
      </c>
    </row>
    <row r="14" customFormat="false" ht="90" hidden="false" customHeight="true" outlineLevel="0" collapsed="false">
      <c r="A14" s="5" t="n">
        <v>8</v>
      </c>
      <c r="B14" s="5" t="s">
        <v>40</v>
      </c>
      <c r="C14" s="5" t="s">
        <v>41</v>
      </c>
      <c r="D14" s="5" t="s">
        <v>42</v>
      </c>
      <c r="E14" s="6" t="n">
        <v>1</v>
      </c>
      <c r="F14" s="7" t="n">
        <v>8.95</v>
      </c>
      <c r="G14" s="7" t="n">
        <f aca="false">E14*F14</f>
        <v>8.95</v>
      </c>
      <c r="H14" s="8" t="s">
        <v>43</v>
      </c>
    </row>
    <row r="15" customFormat="false" ht="105" hidden="false" customHeight="true" outlineLevel="0" collapsed="false">
      <c r="A15" s="5" t="n">
        <v>9</v>
      </c>
      <c r="B15" s="5" t="s">
        <v>44</v>
      </c>
      <c r="C15" s="5" t="s">
        <v>45</v>
      </c>
      <c r="D15" s="5" t="s">
        <v>46</v>
      </c>
      <c r="E15" s="6" t="n">
        <v>1</v>
      </c>
      <c r="F15" s="7" t="n">
        <v>35</v>
      </c>
      <c r="G15" s="7" t="n">
        <f aca="false">E15*F15</f>
        <v>35</v>
      </c>
      <c r="H15" s="8" t="s">
        <v>47</v>
      </c>
    </row>
    <row r="16" customFormat="false" ht="105" hidden="false" customHeight="true" outlineLevel="0" collapsed="false">
      <c r="A16" s="5" t="n">
        <v>10</v>
      </c>
      <c r="B16" s="5" t="s">
        <v>48</v>
      </c>
      <c r="C16" s="5" t="s">
        <v>49</v>
      </c>
      <c r="D16" s="5" t="s">
        <v>50</v>
      </c>
      <c r="E16" s="6" t="n">
        <v>2</v>
      </c>
      <c r="F16" s="7" t="n">
        <v>0.5</v>
      </c>
      <c r="G16" s="7" t="n">
        <f aca="false">E16*F16</f>
        <v>1</v>
      </c>
      <c r="H16" s="8" t="s">
        <v>51</v>
      </c>
    </row>
    <row r="17" customFormat="false" ht="60" hidden="false" customHeight="true" outlineLevel="0" collapsed="false">
      <c r="A17" s="5" t="n">
        <v>11</v>
      </c>
      <c r="B17" s="5" t="s">
        <v>52</v>
      </c>
      <c r="C17" s="5" t="s">
        <v>53</v>
      </c>
      <c r="D17" s="5" t="s">
        <v>54</v>
      </c>
      <c r="E17" s="6" t="n">
        <v>1</v>
      </c>
      <c r="F17" s="7" t="n">
        <v>0.75</v>
      </c>
      <c r="G17" s="7" t="n">
        <f aca="false">E17*F17</f>
        <v>0.75</v>
      </c>
      <c r="H17" s="8" t="s">
        <v>55</v>
      </c>
    </row>
    <row r="18" customFormat="false" ht="15" hidden="false" customHeight="false" outlineLevel="0" collapsed="false">
      <c r="A18" s="4" t="s">
        <v>56</v>
      </c>
      <c r="B18" s="4"/>
      <c r="C18" s="4"/>
      <c r="D18" s="4"/>
      <c r="E18" s="4"/>
      <c r="F18" s="4"/>
      <c r="G18" s="4"/>
      <c r="H18" s="4"/>
    </row>
    <row r="19" customFormat="false" ht="105" hidden="false" customHeight="true" outlineLevel="0" collapsed="false">
      <c r="A19" s="5" t="n">
        <v>12</v>
      </c>
      <c r="B19" s="5" t="s">
        <v>57</v>
      </c>
      <c r="C19" s="5" t="s">
        <v>58</v>
      </c>
      <c r="D19" s="5" t="s">
        <v>59</v>
      </c>
      <c r="E19" s="6" t="n">
        <v>4</v>
      </c>
      <c r="F19" s="7" t="n">
        <v>8.5</v>
      </c>
      <c r="G19" s="7" t="n">
        <f aca="false">E19*F19</f>
        <v>34</v>
      </c>
      <c r="H19" s="8" t="s">
        <v>60</v>
      </c>
    </row>
    <row r="20" customFormat="false" ht="75" hidden="false" customHeight="true" outlineLevel="0" collapsed="false">
      <c r="A20" s="5" t="n">
        <v>13</v>
      </c>
      <c r="B20" s="5" t="s">
        <v>61</v>
      </c>
      <c r="C20" s="5" t="s">
        <v>62</v>
      </c>
      <c r="D20" s="5" t="s">
        <v>63</v>
      </c>
      <c r="E20" s="6" t="n">
        <v>4</v>
      </c>
      <c r="F20" s="7" t="n">
        <v>6</v>
      </c>
      <c r="G20" s="7" t="n">
        <f aca="false">E20*F20</f>
        <v>24</v>
      </c>
      <c r="H20" s="8" t="s">
        <v>64</v>
      </c>
    </row>
    <row r="21" customFormat="false" ht="75" hidden="false" customHeight="true" outlineLevel="0" collapsed="false">
      <c r="A21" s="5" t="n">
        <v>14</v>
      </c>
      <c r="B21" s="5" t="s">
        <v>65</v>
      </c>
      <c r="C21" s="5" t="s">
        <v>66</v>
      </c>
      <c r="D21" s="5" t="s">
        <v>67</v>
      </c>
      <c r="E21" s="6" t="n">
        <v>1</v>
      </c>
      <c r="F21" s="7" t="n">
        <v>15</v>
      </c>
      <c r="G21" s="7" t="n">
        <f aca="false">E21*F21</f>
        <v>15</v>
      </c>
      <c r="H21" s="8" t="s">
        <v>68</v>
      </c>
    </row>
    <row r="22" customFormat="false" ht="15" hidden="false" customHeight="false" outlineLevel="0" collapsed="false">
      <c r="A22" s="4" t="s">
        <v>69</v>
      </c>
      <c r="B22" s="4"/>
      <c r="C22" s="4"/>
      <c r="D22" s="4"/>
      <c r="E22" s="4"/>
      <c r="F22" s="4"/>
      <c r="G22" s="4"/>
      <c r="H22" s="4"/>
    </row>
    <row r="23" customFormat="false" ht="105" hidden="false" customHeight="true" outlineLevel="0" collapsed="false">
      <c r="A23" s="5" t="n">
        <v>15</v>
      </c>
      <c r="B23" s="5" t="s">
        <v>70</v>
      </c>
      <c r="C23" s="5" t="s">
        <v>71</v>
      </c>
      <c r="D23" s="5" t="s">
        <v>72</v>
      </c>
      <c r="E23" s="6" t="n">
        <v>5</v>
      </c>
      <c r="F23" s="7" t="n">
        <v>12</v>
      </c>
      <c r="G23" s="7" t="n">
        <f aca="false">E23*F23</f>
        <v>60</v>
      </c>
      <c r="H23" s="8" t="s">
        <v>73</v>
      </c>
    </row>
    <row r="24" customFormat="false" ht="60" hidden="false" customHeight="true" outlineLevel="0" collapsed="false">
      <c r="A24" s="5" t="n">
        <v>16</v>
      </c>
      <c r="B24" s="5" t="s">
        <v>74</v>
      </c>
      <c r="C24" s="5" t="s">
        <v>75</v>
      </c>
      <c r="D24" s="5" t="s">
        <v>76</v>
      </c>
      <c r="E24" s="6" t="n">
        <v>8</v>
      </c>
      <c r="F24" s="7" t="n">
        <v>2.5</v>
      </c>
      <c r="G24" s="7" t="n">
        <f aca="false">E24*F24</f>
        <v>20</v>
      </c>
      <c r="H24" s="8" t="s">
        <v>77</v>
      </c>
    </row>
    <row r="25" customFormat="false" ht="60" hidden="false" customHeight="true" outlineLevel="0" collapsed="false">
      <c r="A25" s="5" t="n">
        <v>17</v>
      </c>
      <c r="B25" s="5" t="s">
        <v>78</v>
      </c>
      <c r="C25" s="5" t="s">
        <v>79</v>
      </c>
      <c r="D25" s="5" t="s">
        <v>80</v>
      </c>
      <c r="E25" s="6" t="n">
        <v>30</v>
      </c>
      <c r="F25" s="7" t="n">
        <v>0.05</v>
      </c>
      <c r="G25" s="7" t="n">
        <f aca="false">E25*F25</f>
        <v>1.5</v>
      </c>
      <c r="H25" s="8" t="s">
        <v>81</v>
      </c>
    </row>
    <row r="26" customFormat="false" ht="45" hidden="false" customHeight="true" outlineLevel="0" collapsed="false">
      <c r="A26" s="5" t="n">
        <v>18</v>
      </c>
      <c r="B26" s="5" t="s">
        <v>82</v>
      </c>
      <c r="C26" s="5" t="s">
        <v>83</v>
      </c>
      <c r="D26" s="5" t="s">
        <v>84</v>
      </c>
      <c r="E26" s="6" t="n">
        <v>10</v>
      </c>
      <c r="F26" s="7" t="n">
        <v>0.15</v>
      </c>
      <c r="G26" s="7" t="n">
        <f aca="false">E26*F26</f>
        <v>1.5</v>
      </c>
      <c r="H26" s="8" t="s">
        <v>85</v>
      </c>
    </row>
    <row r="27" customFormat="false" ht="75" hidden="false" customHeight="true" outlineLevel="0" collapsed="false">
      <c r="A27" s="5" t="n">
        <v>19</v>
      </c>
      <c r="B27" s="5" t="s">
        <v>86</v>
      </c>
      <c r="C27" s="5" t="s">
        <v>87</v>
      </c>
      <c r="D27" s="5" t="s">
        <v>88</v>
      </c>
      <c r="E27" s="6" t="n">
        <v>1</v>
      </c>
      <c r="F27" s="7" t="n">
        <v>25</v>
      </c>
      <c r="G27" s="7" t="n">
        <f aca="false">E27*F27</f>
        <v>25</v>
      </c>
      <c r="H27" s="8" t="s">
        <v>89</v>
      </c>
    </row>
    <row r="28" customFormat="false" ht="60" hidden="false" customHeight="true" outlineLevel="0" collapsed="false">
      <c r="A28" s="5" t="n">
        <v>20</v>
      </c>
      <c r="B28" s="5" t="s">
        <v>90</v>
      </c>
      <c r="C28" s="5" t="s">
        <v>91</v>
      </c>
      <c r="D28" s="5" t="s">
        <v>92</v>
      </c>
      <c r="E28" s="6" t="n">
        <v>1</v>
      </c>
      <c r="F28" s="7" t="n">
        <v>5</v>
      </c>
      <c r="G28" s="7" t="n">
        <f aca="false">E28*F28</f>
        <v>5</v>
      </c>
      <c r="H28" s="8" t="s">
        <v>93</v>
      </c>
    </row>
    <row r="29" customFormat="false" ht="15" hidden="false" customHeight="false" outlineLevel="0" collapsed="false">
      <c r="A29" s="4" t="s">
        <v>94</v>
      </c>
      <c r="B29" s="4"/>
      <c r="C29" s="4"/>
      <c r="D29" s="4"/>
      <c r="E29" s="4"/>
      <c r="F29" s="4"/>
      <c r="G29" s="4"/>
      <c r="H29" s="4"/>
    </row>
    <row r="30" customFormat="false" ht="60" hidden="false" customHeight="true" outlineLevel="0" collapsed="false">
      <c r="A30" s="5" t="n">
        <v>21</v>
      </c>
      <c r="B30" s="5" t="s">
        <v>95</v>
      </c>
      <c r="C30" s="5" t="s">
        <v>96</v>
      </c>
      <c r="D30" s="5" t="s">
        <v>97</v>
      </c>
      <c r="E30" s="6" t="n">
        <v>1</v>
      </c>
      <c r="F30" s="7" t="n">
        <v>15</v>
      </c>
      <c r="G30" s="7" t="n">
        <f aca="false">E30*F30</f>
        <v>15</v>
      </c>
      <c r="H30" s="8" t="s">
        <v>98</v>
      </c>
    </row>
    <row r="31" customFormat="false" ht="45" hidden="false" customHeight="true" outlineLevel="0" collapsed="false">
      <c r="A31" s="5" t="n">
        <v>22</v>
      </c>
      <c r="B31" s="5" t="s">
        <v>99</v>
      </c>
      <c r="C31" s="5" t="s">
        <v>58</v>
      </c>
      <c r="D31" s="5" t="s">
        <v>100</v>
      </c>
      <c r="E31" s="6" t="n">
        <v>1</v>
      </c>
      <c r="F31" s="7" t="n">
        <v>8.5</v>
      </c>
      <c r="G31" s="7" t="n">
        <f aca="false">E31*F31</f>
        <v>8.5</v>
      </c>
      <c r="H31" s="8" t="s">
        <v>101</v>
      </c>
    </row>
    <row r="33" customFormat="false" ht="15" hidden="false" customHeight="false" outlineLevel="0" collapsed="false">
      <c r="A33" s="9" t="s">
        <v>102</v>
      </c>
      <c r="B33" s="9"/>
      <c r="C33" s="9"/>
      <c r="D33" s="9"/>
      <c r="E33" s="9"/>
      <c r="F33" s="9"/>
      <c r="G33" s="10" t="n">
        <f aca="false">G6+G7+G8+G9+G10+G12+G13+G14+G15+G16+G17+G19+G20+G21+G23+G24+G25+G26+G27+G28+G30+G31</f>
        <v>351.4</v>
      </c>
    </row>
    <row r="35" customFormat="false" ht="15" hidden="false" customHeight="false" outlineLevel="0" collapsed="false">
      <c r="A35" s="11" t="s">
        <v>103</v>
      </c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2" t="s">
        <v>104</v>
      </c>
      <c r="B36" s="12"/>
      <c r="C36" s="12"/>
      <c r="D36" s="12"/>
      <c r="E36" s="12"/>
      <c r="F36" s="12"/>
      <c r="G36" s="12"/>
      <c r="H36" s="12"/>
    </row>
    <row r="37" customFormat="false" ht="15" hidden="false" customHeight="false" outlineLevel="0" collapsed="false">
      <c r="A37" s="12" t="s">
        <v>105</v>
      </c>
      <c r="B37" s="12"/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A38" s="12" t="s">
        <v>106</v>
      </c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A39" s="12" t="s">
        <v>107</v>
      </c>
      <c r="B39" s="12"/>
      <c r="C39" s="12"/>
      <c r="D39" s="12"/>
      <c r="E39" s="12"/>
      <c r="F39" s="12"/>
      <c r="G39" s="12"/>
      <c r="H39" s="12"/>
    </row>
    <row r="40" customFormat="false" ht="15" hidden="false" customHeight="false" outlineLevel="0" collapsed="false">
      <c r="A40" s="12" t="s">
        <v>108</v>
      </c>
      <c r="B40" s="12"/>
      <c r="C40" s="12"/>
      <c r="D40" s="12"/>
      <c r="E40" s="12"/>
      <c r="F40" s="12"/>
      <c r="G40" s="12"/>
      <c r="H40" s="12"/>
    </row>
    <row r="41" customFormat="false" ht="15" hidden="false" customHeight="false" outlineLevel="0" collapsed="false">
      <c r="A41" s="12" t="s">
        <v>109</v>
      </c>
      <c r="B41" s="12"/>
      <c r="C41" s="12"/>
      <c r="D41" s="12"/>
      <c r="E41" s="12"/>
      <c r="F41" s="12"/>
      <c r="G41" s="12"/>
      <c r="H41" s="12"/>
    </row>
    <row r="42" customFormat="false" ht="15" hidden="false" customHeight="false" outlineLevel="0" collapsed="false">
      <c r="A42" s="12" t="s">
        <v>110</v>
      </c>
      <c r="B42" s="12"/>
      <c r="C42" s="12"/>
      <c r="D42" s="12"/>
      <c r="E42" s="12"/>
      <c r="F42" s="12"/>
      <c r="G42" s="12"/>
      <c r="H42" s="12"/>
    </row>
  </sheetData>
  <mergeCells count="16">
    <mergeCell ref="A1:H1"/>
    <mergeCell ref="A2:H2"/>
    <mergeCell ref="A5:H5"/>
    <mergeCell ref="A11:H11"/>
    <mergeCell ref="A18:H18"/>
    <mergeCell ref="A22:H22"/>
    <mergeCell ref="A29:H29"/>
    <mergeCell ref="A33:F33"/>
    <mergeCell ref="A35:H35"/>
    <mergeCell ref="A36:H36"/>
    <mergeCell ref="A37:H37"/>
    <mergeCell ref="A38:H38"/>
    <mergeCell ref="A39:H39"/>
    <mergeCell ref="A40:H40"/>
    <mergeCell ref="A41:H41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2026-03-10T22:42:17Z</dcterms:created>
  <dc:creator>openpyxl</dc:creator>
  <dc:description/>
  <dc:language>en-US</dc:language>
  <cp:lastModifiedBy/>
  <dcterms:modified xsi:type="dcterms:W3CDTF">2026-03-10T22:42:17Z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